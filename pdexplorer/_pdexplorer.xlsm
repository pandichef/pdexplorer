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alcChain.xml" ContentType="application/vnd.openxmlformats-officedocument.spreadsheetml.calcChain+xml"/>
  <Override PartName="/xl/python.xml" ContentType="application/vnd.ms-excel.pyth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workbookPr defaultThemeVersion="202300"/>
  <mc:AlternateContent xmlns:mc="http://schemas.openxmlformats.org/markup-compatibility/2006">
    <mc:Choice Requires="x15">
      <x15ac:absPath xmlns:x15ac="http://schemas.microsoft.com/office/spreadsheetml/2010/11/ac" url="E:\Google Drive\__Code Repos__\pdexplorer (github)\pdexplorer\"/>
    </mc:Choice>
  </mc:AlternateContent>
  <xr:revisionPtr revIDLastSave="0" documentId="8_{39302D5E-6547-438A-AF78-570E2AFE5C0D}" xr6:coauthVersionLast="47" xr6:coauthVersionMax="47" xr10:uidLastSave="{00000000-0000-0000-0000-000000000000}"/>
  <bookViews>
    <workbookView xWindow="22932" yWindow="-108" windowWidth="23256" windowHeight="12456" xr2:uid="{294028CF-9323-4A1B-8A19-9C2D804B512B}"/>
  </bookViews>
  <sheets>
    <sheet name="_pdexplorer"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9" i="1" l="1" a="1"/>
  <c r="B48" i="1" a="1"/>
  <c r="B47" i="1" a="1"/>
  <c r="B46" i="1" a="1"/>
  <c r="B45" i="1" a="1"/>
  <c r="B44" i="1" a="1"/>
  <c r="B43" i="1" a="1"/>
  <c r="B42" i="1" a="1"/>
  <c r="B41" i="1" a="1"/>
  <c r="B40" i="1" a="1"/>
  <c r="B39" i="1" a="1"/>
  <c r="B38" i="1" a="1"/>
  <c r="B37" i="1" a="1"/>
  <c r="B36" i="1" a="1"/>
  <c r="B35" i="1" a="1"/>
  <c r="B34" i="1" a="1"/>
  <c r="B33" i="1" a="1"/>
  <c r="B32" i="1" a="1"/>
  <c r="B31" i="1" a="1"/>
  <c r="B30" i="1" a="1"/>
  <c r="B29" i="1" a="1"/>
  <c r="B28" i="1" a="1"/>
  <c r="B27" i="1" a="1"/>
  <c r="B26" i="1" a="1"/>
  <c r="B25" i="1" a="1"/>
  <c r="B24" i="1" a="1"/>
  <c r="B23" i="1" a="1"/>
  <c r="B22" i="1" a="1"/>
  <c r="B21" i="1" a="1"/>
  <c r="B20" i="1" a="1"/>
  <c r="B19" i="1" a="1"/>
  <c r="B18" i="1" a="1"/>
  <c r="B17" i="1" a="1"/>
  <c r="B16" i="1" a="1"/>
  <c r="B15" i="1" a="1"/>
  <c r="B14" i="1" a="1"/>
  <c r="B13" i="1" a="1"/>
  <c r="B12" i="1" a="1"/>
  <c r="B11" i="1" a="1"/>
  <c r="B10" i="1" a="1"/>
  <c r="B9" i="1" a="1"/>
  <c r="B8" i="1" a="1"/>
  <c r="B7" i="1" a="1"/>
  <c r="B6" i="1" a="1"/>
  <c r="B5" i="1" a="1"/>
  <c r="B4" i="1" a="1"/>
  <c r="B3" i="1" a="1"/>
  <c r="B2" i="1" a="1"/>
  <c r="B49" i="1" l="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7" i="1"/>
  <c r="B6" i="1"/>
  <c r="B5" i="1"/>
  <c r="B4" i="1"/>
  <c r="B3" i="1"/>
  <c r="B2"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import re
import pandas as pd
from typing import Iterable, Union, List, Any
def _search_lazily(list_to_search: Iterable, search_string: str) -&gt; list:
    """
    Matches columns starting with a string if it's unique in the set of column names.
    For example, 'firstn' would match 'firstname'.  However, if 'firstname' and
    'firstnumber' are two columns, then a NameError is raised.
    :param list_to_search: pandas.DataFrame
    :param search_string: Stata-style list i.e., string with column names separated by a space
    :return: match list
    Example:
    &gt;&gt;&gt; match_list = _search_lazily(list_to_search, 'origfix origfic')
    &gt;&gt;&gt; assert match_list = ['origfixedterm', 'origfico']
    """
    collist = list(
        list_to_search
    )  # valid inputs: pandas.DataFrame, pandas.core.indexes.base.Index, ordinary Python list
    search_list = search_string.split()
    matchlist = []
    for var in search_list:
        try:
            collist.index(var)  # produces a ValueError if not found
            matchlist.append(var)
        except ValueError:
            matches = [x for x in collist if x.startswith(var)]
            if len(matches) == 1:
                matchlist.append(matches[0])
            elif len(matches) == 0:
                raise NameError("variable " + var + " not found")
            else:
                raise NameError(var + " ambiguous abbreviation")
    return matchlist
def _search_by_range(list_to_search: Iterable, search_string: str) -&gt; list:
    """
    Matches columns based on a range, as specified by the syntax "startvar - endvar"
    :param list_to_search: pandas.DataFrame
    :param search_string: Column range, specified by the syntax "startvar - endvar"
    :return: match list
    Example:
    &gt;&gt;&gt; match_list = _search_by_range(list_to_search, 'origfixedterm-origfico')
    &gt;&gt;&gt; assert match_list = ['origfixedterm', 'origltv', 'origfico']
    """
    collist = list(
        list_to_search
    )  # valid inputs: pandas.DataFrame, pandas.core.indexes.base.Index, ordinary Python list
    search_list = search_string.split()
    search_string = "".join(search_list)
    search_list = search_string.split("-")
    pos0 = collist.index(search_list[0])
    pos1 = collist.index(search_list[1])
    matchlist = collist[pos0 : pos1 + 1]
    return matchlist
def _search_by_ranges(list_to_search: Iterable, search_string: str) -&gt; list:
    """Handle the case where more than one range is specified"""
    collist = list(
        list_to_search
    )  # valid inputs: pandas.DataFrame, pandas.core.indexes.base.Index, ordinary Python list
    search_list = search_string.split()
    matchlist = []
    for subsearch_string in search_list:
        thismatchlist = _search_by_range(collist, subsearch_string)
        matchlist.extend(thismatchlist)
    return matchlist
def _search_by_wildcard(list_to_search: Iterable, search_string: str) -&gt; list:
    """
    Matches columns based on * wildcards e.g., "orig*"
    :param list_to_search: pandas.DataFrame
    :param search_string: String containing variables specified by wildcards
    :return: match list
    """
    collist = list(
        list_to_search
    )  # valid inputs: pandas.DataFrame, pandas.core.indexes.base.Index, ordinary Python list
    search_list = search_string.split()
    relist = []
    for x in search_list:
        x = x.replace("*", ".*")
        relist.append(x)
    restr = "^" + "$|^".join(relist) + "$"
    matchlist = [x for x in collist if re.match(restr, x)]
    return matchlist
def search_iterable(
    list_to_search: Iterable, search_string: str, subtract: bool = False
) -&gt; list:
    """Search any iterable by wildcard, by range, or "lazily"
    """
    collist = list(list_to_search)  # recast iterable as an ordinary list
    search_list = search_string.split()
    typelist = []
    for x in search_list:
        if x.find("*") &gt; -1:
            typelist.append("w")  # wildcard
        elif x.find("-") &gt; -1:
            typelist.append("r")  # range
        else:
            typelist.append("l")  # lazy
    if len(set(typelist)) == 1 and typelist[0] == "w":
        matchlist = _search_by_wildcard(list_to_search, search_string)
    elif len(set(typelist)) == 1 and typelist[0] == "r":
        matchlist = _search_by_ranges(list_to_search, search_string)
    elif len(set(typelist)) == 1 and typelist[0] == "l":
        matchlist = _search_lazily(list_to_search, search_string)
    else:  # handle mixed search_string (note: this apparently isn't any slower than a 'pure' search_string)
        matchlist = []
        for x in search_list:
            if x.find("*") &gt; -1:
                matchlist.extend(_search_by_wildcard(list_to_search, x))
            elif x.find("-") &gt; -1:
                matchlist.extend(_search_by_ranges(list_to_search, x))
            else:
                matchlist.extend(_search_lazily(list_to_search, x))
    if subtract:
        matchlist = [x for x in collist if x not in matchlist]
    return matchlist
"_search.py"</code>
    </pythonScript>
    <pythonScript>
      <code>import io
import pandas as pd
from copy import copy
from typing import Optional, Callable
class Dataset:
    METADATA_DEFAULT = {"data_label": "", "variable_labels": {}}
    def __init__(self) -&gt; None:
        self._clear_data()
        self._clear_settings()
        self._clear_results()
        self.xlwings_workbook: None | Book = None
        self.byvar: str | None = None
        self.quietly = False
    def _clear_data(self, include_preserved=True):
        self._df: pd.DataFrame = pd.DataFrame()
        self.metadata = copy(Dataset.METADATA_DEFAULT)
        if include_preserved:
            self._df_preserved: pd.DataFrame = pd.DataFrame()
            self.metadata_preserved = copy(Dataset.METADATA_DEFAULT)
            self.has_preserved = False
    def _clear_results(self):
        self.stored_results = {
            "r": {},  # results from general commands
            "e": {},  # results from estimation commands
            "s": {},  # results from parsing commands
            "n": {},  # commands that do not store in r(), e(), or s()
            "c": {},  # contains the values of system parameters and settings
        }
        self.predict_fnc: Optional[Callable[[str], None]] = None
        self.methods: dict = {}  # See statsmodel old documentation
        self.properties: dict = {}  # See statsmodel old documentation
    def _clear_settings(self):
        self.dtale_browser = None  # type DtaleData
        self.has_preserved = False
        self.active_python_script: Optional[str] = None  # see doedit
        self.last_openai_ftjob_id: Optional[str] = None
        self.last_huggingface_ftmodel_dir: Optional[str] = None
        self.browse_turned_on = False
        self.use_torch_bfloat16 = True
        self.captured_output = io.StringIO()
    def clear(self):
        self._clear_data(include_preserved=False)
    def clearall(self):
        self._clear_data()
        self._clear_settings()
        self._clear_results()
    @property
    def df(self):
        return self._df
    @property
    def df_labeled(self):
        return self._df.rename(columns=self.metadata["variable_labels"])
    @df.setter
    def df(self, value: pd.DataFrame):
        column_mapping = {}
        for col in value.columns:
            if isinstance(col, str):  # type error without this
                column_mapping[col] = (
                    col.replace(" ", "")
                    .replace("(", "")
                    .replace(")", "")
                    .replace(",", "")
                    .lower()
                )  # Stata default is to remove spaces
            else:
                column_mapping[col] = col
        self._df = value.rename(columns=column_mapping)
        self.metadata["variable_labels"] = {
            value: key for key, value in column_mapping.items()
        }
    @property
    def df_preserved(self):
        return self._df_preserved
    @df_preserved.setter
    def df_preserved(self, value):
        self._df_preserved = value
        self.has_preserved = True
    def split(self, name: str) -&gt; pd.DataFrame:
        _return_df = self._df.query(f"split == '{name}'", inplace=False)
        if _return_df.empty:
            print(f'Split "{name}" not found.  Split values:')
            print(self._df.split.value_counts())
        return _return_df
    def get_huggingface_dataset(
        self, varlist: Optional[str] = None, split: Optional[str] = None
    ):
        import datasets
        if not varlist:
            varlist = "*"
        varlist = " ".join(search_iterable(self._df.columns, varlist))
        if split:
            dataset = datasets.Dataset.from_pandas(
                self._df[varlist.split()].query(f"""split=='{split}'""")
            )
        else:
            dataset = datasets.Dataset.from_pandas(self._df[varlist.split()])
        return dataset
    def get_pytorch_dataset(
        self, varlist: Optional[str] = None, split: Optional[str] = None, tokenizer=None
    ):
        if not varlist:
            varlist = "*"
        varlist = " ".join(search_iterable(self._df.columns, varlist))
        xvars = varlist.split()
        yvar = xvars.pop(0)
        df_split = self._df.copy()
        if split:
            df_split = df_split.query(f"""split=='{split}'""")
        import torch
        from torch.utils.data import Dataset as PyTorchDataset
        class _PyTorchDataset(PyTorchDataset):
            def __init__(self, df):
                x_train = df.dropna()[xvars].values
                y_train = df.dropna()[[yvar]].values
                self.x_train = torch.tensor(x_train).to(torch.float32)
                self.y_train = torch.tensor(y_train).to(torch.float32)
            def __len__(self):
                return len(self.y_train)
            def __getitem__(self, idx):
                return self.x_train[idx], self.y_train[idx]
        return _PyTorchDataset(df_split)
    def get_pytorch_dataloader(
        self,
        varlist: Optional[str] = None,
        split: Optional[str] = None,
        batch_size=100,
        shuffle=False,
    ):
        from torch.utils.data import DataLoader
        ds = self.get_pytorch_dataset(varlist, split)
        dl = DataLoader(dataset=ds, batch_size=batch_size, shuffle=shuffle)  # type: ignore
        return dl
current = Dataset()
"_dataset.py"</code>
    </pythonScript>
    <pythonScript>
      <code>def _get_custom_attributes(self):
    custom_properties = {}
    custom_methods = {}
    for attr_name in dir(self):
        attr_value = getattr(self, attr_name)
        if not attr_name.startswith("_"):
            if callable(attr_value):
                docstring = attr_value.__doc__
                if docstring:
                    first_line = attr_value.__doc__.split("\n")[1].strip()
                else:
                    first_line = ""
                custom_methods[attr_name] = first_line
            else:
                custom_properties[attr_name] = attr_value
    return custom_methods, custom_properties
"_get_custom_attributes.py"</code>
    </pythonScript>
    <pythonScript>
      <code xml:space="preserve">
def _patsify(varlist: str) -&gt; str:
    varlist = varlist.replace(" i.", " ")  # todo: use C() #
    patsy_formula = " + ".join(search_iterable(current.df.columns, varlist))
    patsy_formula = patsy_formula.replace(" + ", " ~ ", 1)
    return patsy_formula
"_patsify.py"</code>
    </pythonScript>
    <pythonScript>
      <code>from io import StringIO
import sys
rich_print = print
def _print(obj):
    """Modified print statement using global settings"""
    if not current.quietly and not current.browse_turned_on:
        rich_print(obj)
    else:
        current.captured_output.write(str(obj) + "\n")
    if current.xlwings_workbook:
        from pywintypes import com_error
        try:
            sheet = current.xlwings_workbook.sheets["Sheet1"]
            sheet.clear()
            sheet.range("A1").value = current.df
        except com_error:
            pass
"_print.py"</code>
    </pythonScript>
    <pythonScript>
      <code>import re
def _clean(string_with_extra_spaces: str) -&gt; str:
    cleaned = " ".join(string_with_extra_spaces.split())
    return cleaned
def check_syntax(_: dict, syntax: str) -&gt; dict:
    updates = {}
    if syntax is not None and syntax != "" and syntax.find("varlist") &gt; -1:
        expanded_variable_names = search_iterable(current.df.columns, _["anything"])
        for name in expanded_variable_names:
            assert (
                name in current.df.columns
            ), f"Syntax specifies a varlist, but {name} not found in current dataset."
        updates.update({"varlist": " ".join(expanded_variable_names)})
    else:
        pass
    return updates
def parse_options(options_string: str, split_values=False) -&gt; dict:
    if options_string is None:
        return {}
    options_string = options_string.replace("( ", "(")
    options_string = options_string.replace(" )", ")")
    result = {}
    pattern = r"(\w+)\(([^)]*)\)"
    matches = re.findall(pattern, options_string)
    for key, value in matches:
        result[key] = value.strip()
    remaining_words = re.sub(pattern, "", options_string).split()
    for word in remaining_words:
        result[word] = True
    if split_values:
        return {key: value.split(" ") for key, value in result.items()}
    else:
        return result
def parse(commandarg: str, syntax: str = "") -&gt; dict:
    commandarg = commandarg.replace("==", "__eq__").replace("!=", "__neq__")
    if (
        commandarg.startswith("if ")
        or commandarg.startswith("in ")
        or commandarg.startswith("using ")
    ):
        commandarg = " " + commandarg
    split_identifiers = (
        " in ",
        " if ",
        " using ",
        ",",
        " [",
        "]",
        "=",  # check for = before weights only
    )
    split_locations = {}
    end_of_anything = None
    for i, split_identifier in enumerate(split_identifiers):
        split_locations[split_identifier] = commandarg.find(split_identifier)
        if (  # exclude when "=" is after the open bracket
            split_identifier == "="
            and split_locations[" ["] &gt; -1
            and split_locations[split_identifier] &gt; split_locations[" ["]
        ):
            split_locations[split_identifier] = -1
        if split_locations[split_identifier] &gt; -1:
            if end_of_anything:
                end_of_anything = min(
                    split_locations[split_identifier], end_of_anything
                )
            else:
                end_of_anything = split_locations[split_identifier]
    sorted_splits = sorted(
        split_locations.items(), key=lambda x: x[1]
    )  # list of tuples
    _ = {}  # parsed commandarg is represented as _
    for index, (identifier, position) in enumerate(sorted_splits):
        if position == -1:
            _[identifier] = None
        else:
            if identifier == "[":
                startpos = position + len(identifier)
                endpos = split_locations["]"]
                _[identifier] = _clean(commandarg[startpos:endpos])
            elif identifier != "]":
                startpos = position + len(identifier)  # + 1
                try:
                    endpos = sorted_splits[index + 1][1]
                    _[identifier] = _clean(commandarg[startpos:endpos])
                except IndexError:
                    _[identifier] = _clean(commandarg[startpos:])
    _["anything"] = _clean(commandarg[:end_of_anything])
    if _["anything"] == "":
        _["anything"] = None
    if _[" if "]:
        _[" if "] = _[" if "].replace("__eq__", "==").replace("__neq__", "!=")
    _["weight"] = _[" ["]
    del _[" ["]
    if _["weight"] is None:
        del _["]"]  # hack
    _["options"] = _[","]
    del _[","]
    _["if"] = _[" if "]
    del _[" if "]
    _["in"] = _[" in "]
    del _[" in "]
    _["using"] = _[" using "]
    del _[" using "]
    parsed_options = parse_options(_["options"])
    _.update(parsed_options)
    updates = check_syntax(_, syntax)  # raise error is syntax is invalid
    _.update(updates)  # e.g., varlist added if passes validation
    return _
def parse_if_condition(if_condition_string: str) -&gt; dict:
    return {}  # todo
"_commandarg.py"</code>
    </pythonScript>
    <pythonScript>
      <code>import sys
from io import StringIO
import contextlib
from functools import wraps
@contextlib.contextmanager
def quietly(hard=False):
    if hard:
        original_stdout = sys.stdout
        captured_output_hard = StringIO()
        sys.stdout = captured_output_hard
        yield captured_output_hard
        sys.stdout = original_stdout
        current.captured_output = captured_output_hard
    else:
        original_value = current.quietly
        current.quietly = True
        current.captured_output = StringIO()
        yield current.captured_output
        current.quietly = original_value
def quietly_decorator(hard=False):
    def decorator(func):
        @wraps(func)
        def wrapper(*args, **kwargs):
            with quietly(hard=hard) as captured_output:
                return func(*args, **kwargs)
        return wrapper
    return decorator
"_quietly.py"</code>
    </pythonScript>
    <pythonScript>
      <code>import shutil
def print_horizontal_line():
    terminal_width, _ = shutil.get_terminal_size()
    line = "-" * terminal_width
    print(line)
"_print_horizontal_line.py"</code>
    </pythonScript>
    <pythonScript>
      <code xml:space="preserve">
def preserve(quietly=True):
    current.df_preserved = current.df
    current.metadata_preserved = current.metadata
    current.has_preserved = True
    if not quietly:
        print(current.df)
"preserve.py"</code>
    </pythonScript>
    <pythonScript>
      <code>from typing import Tuple, Dict
from urllib.parse import urljoin
import os
from pandas.io.stata import StataReader
import pandas as pd
def _use(file_path=None) -&gt; Tuple[pd.DataFrame, Dict]:
    """Version of use that returns a """
    if not isinstance(file_path, pd.DataFrame) and not file_path:
        return pd.read_clipboard(), current.METADATA_DEFAULT
    elif not isinstance(file_path, str):  # i.e., it's a DataFrame
        import copy
        df = file_path
        if hasattr(df, "metadata"):
            new_metadata = copy.copy(current.METADATA_DEFAULT)
            new_metadata.update(df.metadata)
            return df.copy(), new_metadata
        else:
            return df.copy(), current.METADATA_DEFAULT
    elif os.path.isdir(file_path):
        import datasets  # huggingface
        return datasets.load_from_disk(file_path).to_pandas(), current.METADATA_DEFAULT  # type: ignore
    else:
        file_extension = os.path.splitext(file_path)[1]
        if file_extension == ".dta":
            _df_to_return = pd.read_stata(file_path, convert_categoricals=True)
            _metadata_to_return = {}
            with StataReader(file_path) as reader:
                _metadata_to_return["data_label"] = reader.data_label
                _metadata_to_return["variable_labels"] = reader.variable_labels()
                _metadata_to_return["value_labels"] = reader.value_labels()
            return _df_to_return, _metadata_to_return
        elif file_extension == ".csv":
            return pd.read_csv(file_path), current.METADATA_DEFAULT
        elif file_extension in [".xlsx", ".xls"]:
            return pd.read_csv(file_path), current.METADATA_DEFAULT
        elif file_extension in [".parquet"]:
            import json
            import pyarrow.parquet as pq
            import copy
            table = pq.read_table(file_path)
            custom_metadata = json.loads(
                table.schema.metadata[b"custom"].decode("utf-8")
            )
            new_metadata = copy.copy(current.METADATA_DEFAULT)
            new_metadata.update(custom_metadata)
            return table.to_pandas(), new_metadata
        else:
            raise TypeError("Invalid file path.")
def use(file_path=None, preserve_=False, suppress_print=False) -&gt; None:
    if preserve_:
        preserve()
    if isinstance(file_path, str) and os.path.splitext(file_path)[1] == ".pkl":
        import pickle
        with open(file_path, "rb") as file:
            _current = pickle.load(file)
        current.df = _current.df
        current.metadata = _current.metadata
        current.last_openai_ftjob_id = _current.last_openai_ftjob_id
    else:
        current.df, current.metadata = _use(file_path=file_path)
    if not suppress_print:
        _print(current.df)
"use.py"</code>
    </pythonScript>
    <pythonScript>
      <code xml:space="preserve">
def sort(varlist, ascending=True):
    """See also gsort"""
    sort_list = search_iterable(current.df.columns, varlist)
    current.df.sort_values(sort_list, ascending=ascending, inplace=True)
    _print(current.df)
"sort.py"</code>
    </pythonScript>
    <pythonScript>
      <code>from copy import copy
import functools
def byable(command):
    @functools.wraps(command)
    def wrapper(*args, **kwargs):
        global current
        if current.byvar:
            orig_current = copy(current)
            try:
                with quietly():
                    sort(current.byvar)
                for this in current.df[current.byvar].unique().tolist():
                    _df = orig_current.df
                    _df = _df[_df[current.byvar] == this]  # filtered
                    with quietly():
                        use(_df)
                    print_horizontal_line()
                    print(f"-&gt; {current.byvar} = {this}")
                    command(*args, **kwargs)  # by context cannot support return values
                current = orig_current
            except:
                current = orig_current
        else:
            return command(*args, **kwargs)
    return wrapper
class by:
    def __init__(self, byvar: str) -&gt; None:
        current.byvar = byvar
    def __enter__(self):
        return None  # The part after "as"
    def __exit__(self, exc_type, exc_value, traceback_obj):
        current.byvar = None
"_by.py"</code>
    </pythonScript>
    <pythonScript>
      <code xml:space="preserve">
def hotkey_ctrl_f9(fnc):
    """
    compare to these two alternatives:
    1. import keyboard; keyboard.add_hotkey("ctrl+f9", lambda: print("hello"))
    2. import pynput; pynput.keyboard.GlobalHotKeys({"&lt;ctrl&gt;+&lt;f9&gt;": lambda: print("hello")})
    * all methods freeze ipython when input() is used a python command
    * all methods causes issues in ubuntu
    * pynput appear to be faster than the keyboard package, so I used it vs keyboard
    """
    from pynput import keyboard
    LEFT_COMBINATION = {keyboard.Key.ctrl_l, keyboard.Key.f9}
    RIGHT_COMBINATION = {keyboard.Key.ctrl_r, keyboard.Key.f9}
    key_set = set()
    def on_press(key):
        if key in LEFT_COMBINATION.union(RIGHT_COMBINATION):
            key_set.add(key)
            if LEFT_COMBINATION.issubset(key_set) or RIGHT_COMBINATION.issubset(
                key_set
            ):
                fnc()
                key_set.clear()  # Clear the set after calling fnc()
    def on_release(key):
        key_set.discard(
            key
        )  # Remove the key without raising an exception if it doesn't exist
    listener = keyboard.Listener(on_press=on_press, on_release=on_release)
    listener.start()
"_hotkeys.py"</code>
    </pythonScript>
    <pythonScript>
      <code>import os
import webbrowser
import tempfile
def sweetviz_profile(varlist=None, compare_to=None):
    import sweetviz as sv
    if varlist:
        columns_to_keep = search_iterable(current.df.columns, varlist)
    else:
        columns_to_keep = list(current.df.columns)
    if compare_to is not None:
        master_df = _keep(current.df, columns_to_keep)
        using_df = _keep(_use(compare_to)[0], columns_to_keep)
        report = sv.compare(master_df, using_df)
    else:
        report = sv.analyze(current.df)
    report.show_html()
def ydata_profile(varlist=None, compare_to=None):
    from ydata_profiling import ProfileReport
    if varlist:
        columns_to_keep = search_iterable(current.df.columns, varlist)
    else:
        columns_to_keep = list(current.df.columns)
    if compare_to is not None:
        master_df = _keep(current.df, columns_to_keep)
        using_df = _keep(_use(compare_to)[0], columns_to_keep)
        master_report = ProfileReport(master_df, title="master")
        using_report = ProfileReport(using_df, title="using")
        report = master_report.compare(using_report)
    else:
        master_df = _keep(current.df, columns_to_keep)
        report = master_df.profile_report(
            title=current.metadata["data_label"].split("\n")[0],
            dataset={"description": current.metadata["data_label"]},
            variables={"descriptions": current.metadata["variable_labels"]},
        )
    temp_dir = tempfile.gettempdir()
    temp_file_name = os.path.join(temp_dir, "tmpqbxcec2k.html")
    report.to_file(temp_file_name)
    webbrowser.open(temp_file_name)
"_profile.py"</code>
    </pythonScript>
    <pythonScript>
      <code>def _stata_slice(in_):
    if isinstance(in_, str) and in_.find("/") &gt; -1:  # Stata's slicing syntax
        in_ = in_.replace("/", ":")
        _in_list = in_.split(":")
        in_ = str(int(_in_list[0]) - 1) + ":" + _in_list[1]
        return in_
    else:
        return in_
"_stata_slice.py"</code>
    </pythonScript>
    <pythonScript>
      <code>def cf(varlist, using, package="ydata_profiler"):
    if package == "ydata_profiler":
        ydata_profile(varlist=varlist, compare_to=using)
    elif package == "sweetviz":
        sweetviz_profile(varlist=varlist, compare_to=using)
    else:
        raise Exception(f"Package {package} not found.")
"cf.py"</code>
    </pythonScript>
    <pythonScript>
      <code xml:space="preserve">
def clear(commandargs=None):
    if commandargs == "all":
        current.clearall()
    elif not commandargs:
        current.clear()
    else:
        raise Exception("Command argument not valid")
"clear.py"</code>
    </pythonScript>
    <pythonScript>
      <code>import numpy as np
def collapse(commandarg: str) -&gt; None:
    _ = parse(commandarg)
    weight = _["weight"]
    weight = weight.split("=")[1] if weight else None
    by = _["by"] if _["by"] else None
    clist = _["anything"]
    clist_as_list = clist.split()
    if not weight:
        current._df["weight"] = 1
        weight = "weight"
    if not by:
        current._df["by"] = "_all"
        by = "by"
    fnc = {
        "mean": lambda x: (x * current._df.loc[x.index, weight]).sum()  #  From ChatGPT
        / (current._df.loc[x.index, weight]).sum(),  # type:ignore
        "median": lambda x: x.median(),
        "sum": lambda x: (x * current._df[weight]).sum(),
        "rawsum": lambda x: x.sum(),
        "count": lambda x: x.count(),
        "max": lambda x: x.max(),
        "min": lambda x: x.min(),
    }
    agg_functions = {}
    stat = ""
    for item in clist_as_list:
        if item[0] == "(" and item[-1] == ")":
            stat = item[1:-1]
        else:
            agg_functions[item] = fnc[stat]
    if not weight:
        del current._df["weight"]
    current.df = current._df.groupby(by).agg(agg_functions).reset_index()
    _print(current._df)
"collapse.py"</code>
    </pythonScript>
    <pythonScript>
      <code>import pandas as pd
def describe(
    varlist: str | None = None, return_describe_table: bool = False
) -&gt; pd.DataFrame | None:
    df = current.df
    if varlist:
        labels = search_iterable(df.columns, varlist)
        inverted_labels = [x for x in df.columns if x not in labels]
        df = df.drop(labels=inverted_labels, axis=1, inplace=False)
    describe_table = pd.DataFrame()
    describe_table["FIELD"] = pd.Series(list(df.columns))
    describe_table["LABEL"] = describe_table["FIELD"].map(
        lambda varname: current.metadata["variable_labels"].get(varname, varname)
    )
    describe_table["TYPE"] = pd.Series(df.dtypes.astype(str).tolist())
    describe_table.set_index("FIELD", inplace=True)
    describe_table.index.name = None
    with pd.option_context("display.max_rows", None, "display.max_columns", None):
        _print(describe_table)
    if return_describe_table:
        return describe_table
"describe.py"</code>
    </pythonScript>
    <pythonScript>
      <code xml:space="preserve">
def doedit(filename: str) -&gt; None:
    import subprocess
    subprocess.run(f"code {filename}", shell=True)
    current.active_python_script = filename
def check_script_for_input(script_path):
    """
    input() crashes when used with a hotkey
    This is true for both the keyboard and pynput packages
    """
    import ast
    class InputNotAllowedException(Exception):
        pass
    with open(script_path, "r") as script_file:
        script_source = script_file.read()
    try:
        tree = ast.parse(script_source)
    except SyntaxError as e:
        print(f"Syntax error in the script: {e}")
        return
    for node in ast.walk(tree):
        if (
            isinstance(node, ast.Call)
            and isinstance(node.func, ast.Name)
            and node.func.id == "input"
        ):
            return False
    return True
def run_active_python_script() -&gt; None:
    from IPython.core.getipython import get_ipython
    if current.active_python_script:
        if check_script_for_input(current.active_python_script):
            print(f"Running {current.active_python_script}.")
            get_ipython().run_line_magic("run", current.active_python_script)
        else:
            print(
                f"Found input() in {current.active_python_script}, which causes ipython console to crash.\nRewrite the script or run the file explicitly."
            )
    else:
        print("No active python script. Run doedit command first.")
"doedit.py"</code>
    </pythonScript>
    <pythonScript>
      <code xml:space="preserve">
def dropin(range: str) -&gt; None:
    range = _stata_slice(range)
    current.df = eval(f"current.df.drop(current.df.index[{range}])")
    _print(current.df)
def dropif(condition: str) -&gt; None:
    current.df.query("~(" + condition + ")", inplace=True)
    _print(current.df)
def drop(commandarg: str) -&gt; None:
    _ = parse(commandarg)
    if _["anything"]:
        assert (
            _["in"] is None and _["if"] is None
        ), "drop takes either a varlist or in/if, but not both"
        varlist = search_iterable(current._df.columns, _["anything"])
        current._df.drop(labels=varlist, axis=1, inplace=True)
    elif _["in"] or _["if"]:
        assert (
            _["anything"] is None
        ), "drop takes either a varlist or in/if, but not both"
        if _["in"]:
            dropin(_["in"])
        if _["if"]:
            print("YES")
            dropif(_["if"])
    else:
        raise Exception("drop: Missing Arguments")
    current._df.reset_index(inplace=True, drop=True)
    _print(current._df)
"drop.py"</code>
    </pythonScript>
    <pythonScript>
      <code>import numpy as np
def egen(assignment, by=None):
    """
    Generates a new function variable given input of the form:
    egen("newvar = fnc(arguments)")
    see https://www.stata.com/manuals/degen.pdf
    """
    assignment_list = assignment.split()
    assert assignment_list[1] == "=", 'egen assignment must contain "=".'
    newvar = assignment_list[0]
    fnc_and_args = "".join(assignment_list[2:])
    fnc_and_args_list = fnc_and_args.split("(")
    egen_fnc = fnc_and_args_list[0]
    assert len(fnc_and_args_list) == 2, "Invalid expression."
    arguments = fnc_and_args_list[1][:-1]
    if not by:
        current._df["by"] = "_all"
        by = "by"
    if egen_fnc == "rank":
        current._df[newvar] = current._df.groupby(by)[arguments].rank(method="average")
    else:
        current._df[newvar] = current._df.groupby(by)[arguments].transform(egen_fnc)
    if by == "by":
        del current._df["by"]
    _print(current._df)
"egen.py"</code>
    </pythonScript>
    <pythonScript>
      <code>import pandas as pd
import subprocess
import os
from typing import Optional
def export(
    path: Optional[str] = None,
    limit: Optional[int] = None,
    run: bool = True,
    percentage_columns: Optional[list] = None,
    autofit_columns: Optional[list] = None,
) -&gt; None:
    df = current.df
    if not path:
        import tempfile
        path = os.path.join(tempfile.gettempdir(), "easy_xlsxwriter.xlsx")
    writer = pd.ExcelWriter(path=path, engine="xlsxwriter")  # type: ignore
    if limit:
        df.head(limit).to_excel(writer, sheet_name="Sheet1", startrow=1, header=False)
    else:
        df.to_excel(writer, sheet_name="Sheet1", startrow=1, header=False)
    workbook = writer.book
    worksheet = writer.sheets["Sheet1"]
    default_format = workbook.add_format(  # type: ignore
        {
            "num_format": "#,##0.00",
            "align": "center",
        }
    )
    for column in df.columns:
        this_column_position = list(df.columns).index(column) + 1
        worksheet.set_column(
            this_column_position, this_column_position, cell_format=default_format
        )
    percentage_format = workbook.add_format({"num_format": "0%%", "align": "center"})  # type: ignore
    if percentage_columns:
        for column in percentage_columns:
            this_column_position = list(df.columns).index(column) + 1
            worksheet.set_column(
                this_column_position,
                this_column_position,
                cell_format=percentage_format,
            )
    header_format = workbook.add_format(  # type: ignore
        {
            "bold": True,
            "text_wrap": True,
            "align": "center",
            "valign": "top",
            "fg_color": "#D7E4BC",
            "border": 1,
        }
    )
    for col_num, value in enumerate(df.columns.values):
        worksheet.write(0, col_num + 1, value, header_format)
    worksheet.write(0, 0, "Ticker", header_format)
    worksheet.freeze_panes(1, 1)
    if autofit_columns:
        for column in autofit_columns:
            column_width = df[column].str.len().max()
            this_column_position = list(df.columns).index(column) + 1
            worksheet.set_column(
                this_column_position, this_column_position, width=column_width
            )
    worksheet.set_zoom(75)
    writer.close()  # type: ignore
    if run:
        subprocess.run(f"start excel {path}", shell=True)
"export.py"</code>
    </pythonScript>
    <pythonScript>
      <code xml:space="preserve">
def generate(commandarg: str) -&gt; None:
    _ = parse(commandarg)
    assignment = _["anything"] + "=" + _["="]
    new_column_name = assignment.split("=")[0].strip()
    assert (
        new_column_name not in current.df.columns
    ), 'Column already exists.  See "replace" command.'
    if _["if"]:
        current.df.loc[current.df.query(_["if"]).index, _["anything"],] = _["="]
    else:
        current.df.eval(assignment, inplace=True)
    _print(current.df)
"generate.py"</code>
    </pythonScript>
    <pythonScript>
      <code xml:space="preserve">
def gsort(varlist) -&gt; None:
    """Implements Stata's gsort command
    Note Stata's different interpretation of the minus sign here
    Hence search_iterable isn't used
    &gt;&gt;&gt; gsort('origfico -origltv')
    """
    df = current.df  # originally written as a function
    if type(varlist) == str:
        varlist = varlist.split()
    ascending_list = []
    new_varlist = []
    for x in varlist:
        if x[:1] == "-":
            new_varlist.append(x[1:])
            ascending_list.append(False)
        elif x[:1] == "+":
            new_varlist.append(x[1:])
            ascending_list.append(True)
        else:
            new_varlist.append(x)
            ascending_list.append(True)
    df.sort_values(new_varlist, ascending=ascending_list, inplace=True)
    _print(current.df)
"gsort.py"</code>
    </pythonScript>
    <pythonScript>
      <code xml:space="preserve">
def histogram(commandarg, *args, **kwargs):
    import seaborn as sns
    sns.set_theme()  # set global theme
    import matplotlib.pyplot as plt
    parsed = parse(commandarg)
    split = parsed["anything"].split(" ")
    assert len(split) == 1, "Histplot takes exactly one variable name"
    chart = sns.FacetGrid(current.df, col=parsed.get("by"), *args, **kwargs)
    chart.map(sns.histplot, split[0])
    chart.set_axis_labels(
        current.metadata["variable_labels"].get(split[0], split[0]), "Count",
    )
    chart.set_titles("{col_name} Histogram")
    plt.show()
"histogram.py"</code>
    </pythonScript>
    <pythonScript>
      <code>import pandas as pd
import pandas as pd
def keepin(range: str) -&gt; None:
    range = _stata_slice(range)
    current.df = eval(f"current.df[{range}]")
    _print(current.df)
def keepif(condition: str) -&gt; None:
    current.df.query(condition, inplace=True)
    _print(current.df)
def _keep(df: pd.DataFrame, columns_to_keep: list) -&gt; pd.DataFrame:
    columns_to_drop = [x for x in df.columns if x not in columns_to_keep]
    return df.drop(labels=columns_to_drop, axis=1, inplace=False)
def keep(commandarg: str) -&gt; None:
    _ = parse(commandarg)
    if _["anything"]:
        assert (
            _["in"] is None and _["if"] is None
        ), "drop takes either a varlist or in/if, but not both"
        varlist = search_iterable(current.df.columns, _["anything"])
        current.df = _keep(current._df, varlist)
    elif _["in"] or _["if"]:
        assert (
            _["anything"] is None
        ), "drop takes either a varlist or in/if, but not both"
        with quietly():
            if _["in"]:
                keepin(_["in"])
            if _["if"]:
                keepif(_["if"])
    else:
        raise Exception("drop: Missing Arguments")
    print("TODD: fix keep is deleting variable labels")
    _print(current._df)
"keep.py"</code>
    </pythonScript>
    <pythonScript>
      <code xml:space="preserve">
def labeldata(label: str):
    current.metadata["data_label"] = label
"labeldata.py"</code>
    </pythonScript>
    <pythonScript>
      <code xml:space="preserve">
def labelvariable(varname: str, label: str):
    current.metadata["data_label"][varname] = label
"labelvariable.py"</code>
    </pythonScript>
    <pythonScript>
      <code>import pandas as pd
import warnings
def lis(varlist=None, if_=None, in_=None):
    """The Stata equivalent is list.  However, lis was used here since list is a 
    built-in type in Python.
    """
    in_ = _stata_slice(in_)
    df = current.df
    if varlist:
        labels = search_iterable(df.columns, varlist)
        inverted_labels = [x for x in df.columns if x not in labels]
        df_to_display = df.drop(labels=inverted_labels, axis=1, inplace=False)
    else:
        df_to_display = df
    if in_:
        df_to_display = eval(f"df_to_display[{in_}]")
    if if_:
        df_to_display = df_to_display.query(if_, inplace=False)
    if in_:
        with warnings.catch_warnings():
            warnings.simplefilter("ignore")
            pd.set_option("display.max_rows", None)
            _print(df_to_display)
            pd.reset_option("all")
    else:
        _print(df_to_display)
"lis.py"</code>
    </pythonScript>
    <pythonScript>
      <code>import pandas as pd
def logit(varlist: str):
    import statsmodels.formula.api as smf
    df = current.df.copy()
    depvarname = varlist.split()[0]
    if df[depvarname].dtype == "category":
        newcolumn_as_df = pd.get_dummies(df[depvarname], drop_first=True, dtype=int)
        df[depvarname] = newcolumn_as_df[newcolumn_as_df.columns[0]]
    patsy_formula = _patsify(varlist)
    model = smf.logit(patsy_formula, data=df)
    results = model.fit()
    _print(results.summary())
    current.methods, current.properties = _get_custom_attributes(results)
    print("(post-estimation not yet supported)")
    return results
"logit.py"</code>
    </pythonScript>
    <pythonScript>
      <code>import os
import pandas as pd
def merge(
    varlist: str,
    right="preserved",  # by default, use the preserved dataset
    how="left",  # The standard vlookup style merge
    suffixes=(None, "__right"),
    indicator=True,
    validate="many_to_one",  # The standard vlookup style merge
    update=False,  # This is a stata option for when there are merge conficts
    *args,
    **kwargs
) -&gt; None:
    """
    From the stata manual:
    Because m:m merges are such a bad idea, we are not going to show you an example. If you think
    that you need an m:m merge, then you probably need to work with your data so that you can use a
    1:m or m:1 merge.
    By default, merge treats values from the master as inviolable. When observations match, it is the
    master’s values of the overlapping variables that are recorded in the merged result.
    If you specify the update option, however, then all missing values of overlapping variables in
    matched observations are replaced with values from the using data. Because of this new behavior,
    the merge codes change somewhat. Codes 1 and 2 keep their old meaning. Code 3 splits into codes
    3, 4, and 5. Codes 3, 4, and 5 are filtered according to the following rules; the first applicable rule
    is used.
    """
    labels = search_iterable(current.df.columns, varlist)
    def _merge(right: pd.DataFrame):
        return current.df.merge(
            right,
            on=labels,
            indicator=indicator,
            suffixes=suffixes,
            how=how,  # type: ignore
            validate=validate,  # The standard vlookup style merge
            *args,
            **kwargs
        )
    if right == "preserved":
        current.df = _merge(current.df_preserved)
        current.metadata["variable_labels"].update(
            current.metadata_preserved["variable_labels"]
        )
    elif not isinstance(right, str):  # DataFrame or named Series
        current.df = _merge(right)
    else:
        right_df, right_metadata = _use(right)
        current.df = _merge(right_df)
        current.metadata["variable_labels"].update(right_metadata["variable_labels"])
    if update:
        pass  # under construction; see stata options
    _print(current.df)
"merge.py"</code>
    </pythonScript>
    <pythonScript>
      <code xml:space="preserve">
def order(varlist, refvar=None, after=True, last=False) -&gt; None:
    """
    For whatever reason, it isn't that simple to order columns in pandas.
    This method corrects that.  Note: This currently only supports column
    ordering.
    Parameters
    ----------
    varlist : single label or list-like or magicpandas search string
        The columns to order.
    refvar str, default None
        A reference column e.g., to order after or before refvar
    after : bool, default True
        If True, order after the refvar
    last : bool, default False
        If True, place ordered columns at the end of the dataframe
    Returns
    -------
    MagicDataFrame
        DataFrame with ordered columns.
    """
    df = current.df
    varlist = search_iterable(df.columns, varlist)
    assert type(after) == bool
    assert type(last) == bool
    assert (
        last is False or refvar is None
    ), "last and refvar options cannot be use simultaneously"
    therest = [x for x in list(df.columns) if x not in varlist]
    if refvar is None:
        if len(therest) != 0:
            refvar = therest[0]
        after = False
    if last is True:
        after = True
        refvar = therest[-1]
    if len(therest) != 0:
        colnum = list(therest).index(refvar)  # type: ignore
    else:
        colnum = 0
    if after is False:
        head = therest[:colnum]
        tail = therest[colnum:]
    else:
        head = therest[: colnum + 1]
        tail = therest[colnum + 1 :]
    newlist = head
    newlist.extend(varlist)
    newlist.extend(tail)
    df = df[newlist]
    current.df = df
    _print(current.df)
"order.py"</code>
    </pythonScript>
    <pythonScript>
      <code xml:space="preserve">
def predict(newvar: str) -&gt; None:
    if current.predict_fnc:
        current.predict_fnc(newvar)
        current.metadata["variable_labels"][newvar] = "Fitted values"
    else:
        _print("last estimates not found")
"predict.py"</code>
    </pythonScript>
    <pythonScript>
      <code>raw_syntax = """varlist [if] [in] [aw fw iw pw] [,		///
	VCE(passthru) Robust CLuster(passthru)		///
	HC2 HC3						///
	beta						///
	EForm(passthru)					///
	noHEader					///
	noTABle						///
	plus						///
	dfci DFPValues					///
	*						///
]"""
import pandas as pd
from typing import Union
@byable
def regress(commandarg: str):
    """
    Stata docs: https://www.stata.com/manuals/rregress.pdf
    Returns: https://www.statsmodels.org/stable/generated/statsmodels.regression.linear_model.RegressionResults.html
    """
    syntax = " ".join(raw_syntax.replace("///", "").split())
    _ = parse(commandarg, syntax)
    varlist = _["varlist"]
    import statsmodels.formula.api as smf
    import statsmodels.api as sm
    patsy_formula = _patsify(varlist)
    if _["if"]:
        model = smf.ols(patsy_formula, data=current.df.query(_["if"]), missing="drop")
    else:
        model = smf.ols(patsy_formula, data=current.df, missing="drop")
    results = model.fit()
    _print(results.summary2())
    current.methods, current.properties = _get_custom_attributes(results)  # deprecated
    current.stored_results["e"] = {
        "scalars": {
            "N": int(results.nobs),
            "df_m": int(results.df_model),
            "df_r": int(results.df_resid),
            "F": results.fvalue,
            "r2": results.rsquared,
            "mss": results.mse_model,
            "r2_a": results.rsquared_adj,
            "ll": results.llf,
        }
    }
    def predict_fnc(newvar: str) -&gt; None:
        X = current.df[_["varlist"].split()[1:]]
        predictions_narray = results.predict(sm.add_constant(X))
        current.df[newvar] = pd.Series(predictions_narray)
    current.predict_fnc = predict_fnc
    results.__class__.__call__ = lambda self: self.__dict__["_results"].__dict__  # type: ignore
    return results
"regress.py"</code>
    </pythonScript>
    <pythonScript>
      <code xml:space="preserve">
def rename(oldnew: str) -&gt; None:
    def _change_chase(string_method):
        column_mapping = {}
        for col in current.df.columns:
            if isinstance(col, str):  # type error without this
                column_mapping[col] = string_method(col)
            else:
                column_mapping[col] = col
        current.df.rename(columns=column_mapping, inplace=True)
    if oldnew.replace(" ", "") == "*,lower":
        _change_chase(str.lower)
    elif oldnew.replace(" ", "") == "*,upper":
        _change_chase(str.upper)
    elif oldnew.replace(" ", "") == "*,proper":
        _change_chase(str.title)
    else:
        df = current.df
        oldnew_split = oldnew.strip().split(" ")
        assert (
            len(oldnew_split) == 2
        ), "Function parameter must be the old variable name followed by the new variable name."
        df.rename(columns={oldnew_split[0]: oldnew_split[1]}, inplace=True)
    _print(current.df)
"rename.py"</code>
    </pythonScript>
    <pythonScript>
      <code xml:space="preserve">
def replace(commandarg: str) -&gt; None:
    _ = parse(commandarg)
    assignment = _["anything"] + "=" + _["="]
    new_column_name = assignment.split("=")[0].strip()
    assert (
        new_column_name in current.df.columns
    ), 'Column already exists.  See "generate" command.'
    if _["if"]:
        current.df.loc[current.df.query(_["if"]).index, _["anything"],] = _["="]
    else:
        current.df.eval(assignment, inplace=True)
    _print(current.df)
"replace.py"</code>
    </pythonScript>
    <pythonScript>
      <code>import numpy as np
import pandas as pd
"""
pandas has several reshaping functions, including df.unstack('level') for going to wide, 
df.stack('column_level') for going to long, pd.melt, and df.pivot.
See https://pandas.pydata.org/pandas-docs/stable/user_guide/reshaping.html
See https://www.stata.com/manuals/dreshape.pdf
pandas "record format" = stata "wide format"
pandas "stacked format" = stata "long format"
"""
def reshapewide(stub, i, j):
    current.df[j] = stub + current.df[j].astype(str)
    current.df = current.df.pivot(index=i, columns=j, values=stub)
    current.df = current.df.reset_index()
    current.df.index.name = None
    current.df.columns.name = None
    _print(current.df)
def reshapelong(stub, i, j):
    current.df = pd.wide_to_long(current.df, [stub], i=i, j=j)
    current.df.sort_values(by=[i, j], inplace=True)
    current.df.reset_index(inplace=True)
    _print(current.df)
"reshape.py"</code>
    </pythonScript>
    <pythonScript>
      <code>import pandas as pd
def restore(swap=True):
    if swap:
        current.df, current.df_preserved = current.df_preserved, current.df
        current.metadata, current.metadata_preserved = (
            current.metadata_preserved,
            current.metadata,
        )
    else:
        current.df = current.df_preserved
        current.metadata = current.metadata_preserved
        current.df_preserved = pd.DataFrame()
        current.metadata_preserved = {}
        current.has_preserved = False
    _print(current.df)
"restore.py"</code>
    </pythonScript>
    <pythonScript>
      <code>from typing import Literal
from pprint import pprint
def returnlist(return_type: Literal["r", "e", "s", "n", "c"] = "r") -&gt; None:
    print()
    for values_type, values_dict in current.stored_results[return_type].items():
        print(values_type + ":")
        for k, v in values_dict.items():
            v_as_str = str(k)
            shift = " " * (16 - len(v_as_str))
            print(shift + "_e('" + k + "') =  " + str(v))
def r_(name, return_type: Literal["r", "e", "s", "n", "c"] = "r"):
    flattened_dict = {}
    for key, value in current.stored_results["e"].items():
        flattened_dict.update(value)
    return flattened_dict[name]
def ereturnlist() -&gt; None:
    returnlist("e")
def e_(name):
    return r_(name, "e")
def sreturnlist() -&gt; None:
    returnlist("s")
def s_(name):
    return r_(name, "s")
def nreturnlist() -&gt; None:
    returnlist("n")
def n_(name):
    return r_(name, "n")
def creturnlist() -&gt; None:
    returnlist("c")
def c_(name):
    return r_(name, "c")
"returnlist.py"</code>
    </pythonScript>
    <pythonScript>
      <code xml:space="preserve">
def sample(percentage_or_count, by=None, count=False, random_state=None):
    if count:
        kwargs = {"n": percentage_or_count}
    else:
        kwargs = {"frac": percentage_or_count / 100}
    if random_state is not None:
        kwargs.update({"random_state": random_state})
    if by:
        current.df = (
            current.df.groupby(by)
            .apply(lambda x: x.sample(**kwargs))
            .reset_index(drop=True)
        )
    else:
        current.df = current.df.sample(**kwargs)
    _print(current.df)
"sample.py"</code>
    </pythonScript>
    <pythonScript>
      <code>import os
import pandas as pd
def save(file_path=None, use_variable_labels=False):
    if use_variable_labels:
        column_labels = current.metadata["variable_labels"]
    else:
        column_labels = {}
    if not file_path:
        current.df.rename(columns=column_labels).to_clipboard()
        _print("(Data saved to clipboard)")
    elif os.path.splitext(file_path)[1] == "":
        current.get_huggingface_dataset().save_to_disk(file_path)
    else:
        assert (
            not use_variable_labels
        ), "dta files save variable labels as metadata.  Set use_variable_labels to False."
        file_extension = os.path.splitext(file_path)[1]
        if file_extension == ".dta":
            current_df_copy = current.df.copy()
            import numpy as np
            current_df_copy.replace([np.inf, -np.inf], np.nan, inplace=True)
            current_df_copy.to_stata(
                file_path,
                data_label=current.metadata["data_label"],
                variable_labels=current.metadata["variable_labels"],
                write_index=False,
                version=118,
            )
        elif file_extension == ".csv":
            current.df.to_csv(file_path)
        elif file_extension in [".xlsx", ".xls"]:
            current.df.to_excel(file_path)
        elif file_extension in [".pkl"]:
            import pickle
            with open(file_path, "wb") as file:
                pickle.dump(current, file)
        elif file_extension in [".parquet"]:
            import json
            from copy import copy
            import pyarrow as pa
            import pyarrow.parquet as pq
            custom_metadata = current.metadata
            table = pa.Table.from_pandas(current.df)
            new_metadata = copy(table.schema.metadata)
            encoded_custom_metadata = json.dumps(custom_metadata).encode("utf-8")
            new_metadata.update({b"custom": encoded_custom_metadata})
            table = table.replace_schema_metadata(new_metadata)
            pq.write_table(table, file_path)
        else:
            print("Didn't save file.  Something went wrong.")
"save.py"</code>
    </pythonScript>
    <pythonScript>
      <code xml:space="preserve">
def scatter(commandarg, *args, **kwargs):
    import seaborn as sns
    sns.set_theme()  # set global theme
    import matplotlib.pyplot as plt
    parsed = parse(commandarg)
    split = parsed["anything"].split(" ")
    assert len(split) == 2, "Scatter takes exactly two variable names"
    chart = sns.relplot(
        data=current.df,
        x=current.df[split[0]],
        y=current.df[split[1]],
        col=parsed.get("by"),
        *args,
        **kwargs
    )
    chart.set_axis_labels(
        current.metadata["variable_labels"].get(split[0], split[0]),
        current.metadata["variable_labels"].get(split[1], split[1]),
    )
    plt.show()
"scatter.py"</code>
    </pythonScript>
    <pythonScript>
      <code>from copy import copy
@byable
def summarize(commandarg="") -&gt; None:
    parsed = parse(commandarg)
    anything = parsed["anything"]
    assert not parsed["weight"], "Full commandarg not yet supported"
    varlist = search_iterable(current.df.columns, anything)
    df = current.df.copy()
    if varlist:
        inverted_labels = [x for x in df.columns if x not in varlist]
        df = df.drop(labels=inverted_labels, axis=1, inplace=False)
    _print(df.describe(include="all").transpose())
"summarize.py"</code>
    </pythonScript>
    <pythonScript>
      <code xml:space="preserve">
def sysuse(*args, **kwargs):
    webuse(*args, **kwargs, use_local=True)
"sysuse.py"</code>
    </pythonScript>
    <pythonScript>
      <code>import warnings
import pandas as pd
@byable
def tabulate(varlist):
    _varlist = varlist.split()
    if len(_varlist) == 1:
        varname = varlist
        df = current.df
        frequency_table = df.groupby(varname).size().reset_index(name="Freq")
        total_count = frequency_table["Freq"].sum()
        frequency_table["Percentage"] = (frequency_table["Freq"] / total_count) * 100
        frequency_table["Cum"] = frequency_table["Percentage"].cumsum()
        with warnings.catch_warnings():
            warnings.simplefilter("ignore")
            pd.set_option("display.max_rows", None)
            _print(frequency_table)
            pd.reset_option("all")
        _print(f"*** Total Freq: {frequency_table['Freq'].sum()} ***")
    elif len(_varlist) == 2:
        twoway = pd.crosstab(current.df[_varlist[0]], current.df[_varlist[1]])  # type: ignore
        twoway["Total"] = twoway.sum(axis=1).astype(int)
        _print(twoway)
    else:
        raise Exception("tabulate can only accept a varlist with two variables.")
"tabulate.py"</code>
    </pythonScript>
    <pythonScript>
      <code>import os
import functools
import tempfile
from urllib.parse import urljoin
import requests
import pandas as pd
from pandas.io.stata import StataReader
def cache_file_fetch(webuse_func):
    @functools.wraps(webuse_func)
    def decorator(use_local=False):
        def wrapper(name, *args, **kwargs):
            if use_local:
                def get_local(name, *args, **kwargs):
                    source = webuse_func.__name__.split("_")[-1]
                    try:
                        use(
                            f"{str(name).replace('/','_')}__{source}.dta",
                            suppress_print=True,
                        )
                    except FileNotFoundError:
                        print("File not found locally.  Retrieving from server.")
                        webuse_func(name, *args, **kwargs)
                        file_path = f"{str(name).replace('/','_')}__{source}.dta"
                        save(file_path)
                        print(f"Saving to {file_path}.")
                get_local(name, *args, **kwargs)
            else:
                webuse_func(name, *args, **kwargs)
        return wrapper
    return decorator
def make_metadata_value_labels(df):
    metadata_value_labels = {}
    for catcol in df.select_dtypes(include=["category"]).columns:
        this_label = dict(zip(df[catcol].cat.codes, df[catcol].astype(str)))
        metadata_value_labels.update({catcol: this_label})
    return metadata_value_labels
@cache_file_fetch
def _webuse_stata(
    name="auto", baseurl="https://www.stata-press.com/data/r18/",
):
    url_to_datafile = urljoin(baseurl, name + ".dta")
    response = requests.get(url_to_datafile)
    if response.status_code == 200:
        temp_dir = tempfile.gettempdir()
        temp_file_name = os.path.join(temp_dir, "tmpqbxcec2k.dta")
        with open(temp_file_name, "wb") as temp_file:
            temp_file.write(response.content)
        with StataReader(temp_file_name) as reader:
            current.metadata["data_label"] = reader.data_label
            current.metadata["variable_labels"] = reader.variable_labels()
            current.df = reader.read(convert_categoricals=True)
        current.metadata["value_labels"] = make_metadata_value_labels(current.df)
        os.remove(temp_file_name)
    else:
        raise Exception("Data not found.")
@cache_file_fetch
def _webuse_vega(name="cars"):
    clear()
    from vega_datasets import data
    current.df = eval(f"data.{name}()")
    current.metadata["value_labels"] = make_metadata_value_labels(current.df)
@cache_file_fetch
def _webuse_seaborn(name="tips"):
    clear()
    import seaborn as sns
    current.df = eval(f"sns.load_dataset('{name}')")
    current.metadata["value_labels"] = make_metadata_value_labels(current.df)
@cache_file_fetch
def _webuse_rdataset(name="AirPassengers"):
    clear()
    import statsmodels.api as sm
    name_split = str(name).split("__")
    if len(name_split) == 1:
        name_split.append("datasets")  # This is the default in Rdatasets
    current.df = eval(
        f"sm.datasets.get_rdataset('{name_split[0]}', '{name_split[1]}').data"
    )
    current.metadata["value_labels"] = make_metadata_value_labels(current.df)
@cache_file_fetch
def _webuse_statsmodels(name="longley"):
    clear()
    import statsmodels.api as sm
    current.df = eval(f"sm.datasets.{name}.load_pandas().data")
    current.metadata["value_labels"] = make_metadata_value_labels(current.df)
@cache_file_fetch
def _webuse_huggingface(name="imdb"):
    clear()
    from datasets import load_dataset_builder
    from datasets import load_dataset
    ds_builder = load_dataset_builder(name)
    current.metadata["data_label"] = ds_builder.info.description
    dataset = load_dataset(name)
    _df_all_splits = pd.DataFrame()
    for split_name, split_data in dataset.data.items():
        _df_this_split = split_data.to_pandas()
        _df_this_split["split"] = split_name
        _df_all_splits = pd.concat([_df_all_splits, _df_this_split], ignore_index=False)
    current.df = _df_all_splits
    current.metadata["data_label"] = name
    current.metadata["value_labels"] = make_metadata_value_labels(current.df)
@cache_file_fetch
def _webuse_sklearn(name="iris"):
    clear()
    exec(f"from sklearn.datasets import load_{name}")
    data = eval(f"load_{name}()")
    current.metadata["data_label"] = data.DESCR
    _df_x = pd.DataFrame(data.data)
    for i, name in enumerate(data.feature_names):
        _df_x.rename(columns={i: name}, inplace=True)
    _df_x["target"] = pd.Series(
        pd.Categorical.from_codes(data.target, categories=data.target_names),
        dtype="category",
    )
    current.df = _df_x
    current.metadata["value_labels"] = make_metadata_value_labels(current.df)
def webuse(name, source="stata", preserve_=False, use_local=False, base_path=""):
    if preserve_:
        preserve()
    if source == "stata":
        _webuse_stata(use_local)(name=name)
    elif source == "vega":
        _webuse_vega(use_local)(name=name)
    elif source == "seaborn":
        _webuse_seaborn(use_local)(name=name)
    elif source in [
        "rdataset",
        "rdatasets",
    ]:  # https://www.statsmodels.org/devel/datasets/index.html#using-datasets-from-r
        _webuse_rdataset(use_local)(name=name)
    elif (
        source == "statsmodels"
    ):  # https://www.statsmodels.org/devel/datasets/index.html#available-datasets
        _webuse_statsmodels(use_local)(name=name)
    elif source in ["datasets", "huggingface"]:  # hugging face
        _webuse_huggingface(use_local)(name=name)
    elif source == "sklearn":
        _webuse_sklearn(use_local)(name=name)
    else:
        raise Exception("Source not found.")
    _print("(" + current.metadata["data_label"] + ")")
    _print(current.df)
"webuse.py"</code>
    </pythonScript>
    <pythonScript>
      <code xml:space="preserve">
def xpose() -&gt; None:
    current.df = current.df.transpose()
    _print(current.df)
"xpose.py"</code>
    </pythonScript>
  </pythonScripts>
</python>
</file>

<file path=xl/sharedStrings.xml><?xml version="1.0" encoding="utf-8"?>
<sst xmlns="http://schemas.openxmlformats.org/spreadsheetml/2006/main" count="50" uniqueCount="50">
  <si>
    <t>Module Name</t>
  </si>
  <si>
    <t>Python Object</t>
  </si>
  <si>
    <t>_search.py</t>
  </si>
  <si>
    <t>_dataset.py</t>
  </si>
  <si>
    <t>_get_custom_attributes.py</t>
  </si>
  <si>
    <t>_patsify.py</t>
  </si>
  <si>
    <t>_print.py</t>
  </si>
  <si>
    <t>_commandarg.py</t>
  </si>
  <si>
    <t>_quietly.py</t>
  </si>
  <si>
    <t>_print_horizontal_line.py</t>
  </si>
  <si>
    <t>preserve.py</t>
  </si>
  <si>
    <t>use.py</t>
  </si>
  <si>
    <t>sort.py</t>
  </si>
  <si>
    <t>_by.py</t>
  </si>
  <si>
    <t>regress.py</t>
  </si>
  <si>
    <t>scatter.py</t>
  </si>
  <si>
    <t>histogram.py</t>
  </si>
  <si>
    <t>logit.py</t>
  </si>
  <si>
    <t>drop.py</t>
  </si>
  <si>
    <t>order.py</t>
  </si>
  <si>
    <t>keep.py</t>
  </si>
  <si>
    <t>cf.py</t>
  </si>
  <si>
    <t>clear.py</t>
  </si>
  <si>
    <t>collapse.py</t>
  </si>
  <si>
    <t>describe.py</t>
  </si>
  <si>
    <t>doedit.py</t>
  </si>
  <si>
    <t>egen.py</t>
  </si>
  <si>
    <t>export.py</t>
  </si>
  <si>
    <t>generate.py</t>
  </si>
  <si>
    <t>gsort.py</t>
  </si>
  <si>
    <t>labeldata.py</t>
  </si>
  <si>
    <t>labelvariable.py</t>
  </si>
  <si>
    <t>lis.py</t>
  </si>
  <si>
    <t>merge.py</t>
  </si>
  <si>
    <t>predict.py</t>
  </si>
  <si>
    <t>rename.py</t>
  </si>
  <si>
    <t>replace.py</t>
  </si>
  <si>
    <t>reshape.py</t>
  </si>
  <si>
    <t>restore.py</t>
  </si>
  <si>
    <t>returnlist.py</t>
  </si>
  <si>
    <t>sample.py</t>
  </si>
  <si>
    <t>save.py</t>
  </si>
  <si>
    <t>summarize.py</t>
  </si>
  <si>
    <t>sysuse.py</t>
  </si>
  <si>
    <t>tabulate.py</t>
  </si>
  <si>
    <t>webuse.py</t>
  </si>
  <si>
    <t>xpose.py</t>
  </si>
  <si>
    <t>_hotkeys.py</t>
  </si>
  <si>
    <t>_profile.py</t>
  </si>
  <si>
    <t>_stata_slice.py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</si>
</sst>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Types" Target="richData/rdRichValueTypes.xml"/><Relationship Id="rId3" Type="http://schemas.openxmlformats.org/officeDocument/2006/relationships/styles" Target="styles.xml"/><Relationship Id="rId7" Type="http://schemas.microsoft.com/office/2017/06/relationships/rdRichValueStructure" Target="richData/rdrichvaluestructure.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17/06/relationships/rdRichValue" Target="richData/rdrichvalue.xml"/><Relationship Id="rId5" Type="http://schemas.openxmlformats.org/officeDocument/2006/relationships/sheetMetadata" Target="metadata.xml"/><Relationship Id="rId10" Type="http://schemas.microsoft.com/office/2023/09/relationships/Python" Target="python.xml"/><Relationship Id="rId4" Type="http://schemas.openxmlformats.org/officeDocument/2006/relationships/sharedStrings" Target="sharedStrings.xml"/><Relationship Id="rId9" Type="http://schemas.openxmlformats.org/officeDocument/2006/relationships/calcChain" Target="calcChain.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14</v>
  </rv>
</rvData>
</file>

<file path=xl/richData/rdrichvaluestructure.xml><?xml version="1.0" encoding="utf-8"?>
<rvStructures xmlns="http://schemas.microsoft.com/office/spreadsheetml/2017/richdata" count="1">
  <s t="_error">
    <k n="error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61EBC5-CB53-4AFD-B838-55B1F1CBAFA6}">
  <dimension ref="A1:B49"/>
  <sheetViews>
    <sheetView tabSelected="1" workbookViewId="0">
      <selection activeCell="I18" sqref="I18"/>
    </sheetView>
  </sheetViews>
  <sheetFormatPr defaultRowHeight="14.4" x14ac:dyDescent="0.3"/>
  <cols>
    <col min="1" max="1" width="22.109375" bestFit="1" customWidth="1"/>
    <col min="2" max="2" width="12.109375" bestFit="1" customWidth="1"/>
  </cols>
  <sheetData>
    <row r="1" spans="1:2" x14ac:dyDescent="0.3">
      <c r="A1" t="s">
        <v>0</v>
      </c>
      <c r="B1" t="s">
        <v>1</v>
      </c>
    </row>
    <row r="2" spans="1:2" x14ac:dyDescent="0.3">
      <c r="A2" t="s">
        <v>2</v>
      </c>
      <c r="B2" t="e" cm="1" vm="1">
        <f t="array" aca="1" ref="B2" ca="1">_xlfn._xlws.PY(0,1)</f>
        <v>#VALUE!</v>
      </c>
    </row>
    <row r="3" spans="1:2" x14ac:dyDescent="0.3">
      <c r="A3" t="s">
        <v>3</v>
      </c>
      <c r="B3" t="e" cm="1" vm="1">
        <f t="array" aca="1" ref="B3" ca="1">_xlfn._xlws.PY(1,1)</f>
        <v>#VALUE!</v>
      </c>
    </row>
    <row r="4" spans="1:2" x14ac:dyDescent="0.3">
      <c r="A4" t="s">
        <v>4</v>
      </c>
      <c r="B4" t="e" cm="1" vm="1">
        <f t="array" aca="1" ref="B4" ca="1">_xlfn._xlws.PY(2,1)</f>
        <v>#VALUE!</v>
      </c>
    </row>
    <row r="5" spans="1:2" x14ac:dyDescent="0.3">
      <c r="A5" t="s">
        <v>5</v>
      </c>
      <c r="B5" t="e" cm="1" vm="1">
        <f t="array" aca="1" ref="B5" ca="1">_xlfn._xlws.PY(3,1)</f>
        <v>#VALUE!</v>
      </c>
    </row>
    <row r="6" spans="1:2" x14ac:dyDescent="0.3">
      <c r="A6" t="s">
        <v>6</v>
      </c>
      <c r="B6" t="e" cm="1" vm="1">
        <f t="array" aca="1" ref="B6" ca="1">_xlfn._xlws.PY(4,1)</f>
        <v>#VALUE!</v>
      </c>
    </row>
    <row r="7" spans="1:2" x14ac:dyDescent="0.3">
      <c r="A7" t="s">
        <v>7</v>
      </c>
      <c r="B7" t="e" cm="1" vm="1">
        <f t="array" aca="1" ref="B7" ca="1">_xlfn._xlws.PY(5,1)</f>
        <v>#VALUE!</v>
      </c>
    </row>
    <row r="8" spans="1:2" x14ac:dyDescent="0.3">
      <c r="A8" t="s">
        <v>8</v>
      </c>
      <c r="B8" t="e" cm="1" vm="1">
        <f t="array" aca="1" ref="B8" ca="1">_xlfn._xlws.PY(6,1)</f>
        <v>#VALUE!</v>
      </c>
    </row>
    <row r="9" spans="1:2" x14ac:dyDescent="0.3">
      <c r="A9" t="s">
        <v>9</v>
      </c>
      <c r="B9" t="e" cm="1" vm="1">
        <f t="array" aca="1" ref="B9" ca="1">_xlfn._xlws.PY(7,1)</f>
        <v>#VALUE!</v>
      </c>
    </row>
    <row r="10" spans="1:2" x14ac:dyDescent="0.3">
      <c r="A10" t="s">
        <v>10</v>
      </c>
      <c r="B10" t="e" cm="1" vm="1">
        <f t="array" aca="1" ref="B10" ca="1">_xlfn._xlws.PY(8,1)</f>
        <v>#VALUE!</v>
      </c>
    </row>
    <row r="11" spans="1:2" x14ac:dyDescent="0.3">
      <c r="A11" t="s">
        <v>11</v>
      </c>
      <c r="B11" t="e" cm="1" vm="1">
        <f t="array" aca="1" ref="B11" ca="1">_xlfn._xlws.PY(9,1)</f>
        <v>#VALUE!</v>
      </c>
    </row>
    <row r="12" spans="1:2" x14ac:dyDescent="0.3">
      <c r="A12" t="s">
        <v>12</v>
      </c>
      <c r="B12" t="e" cm="1" vm="1">
        <f t="array" aca="1" ref="B12" ca="1">_xlfn._xlws.PY(10,1)</f>
        <v>#VALUE!</v>
      </c>
    </row>
    <row r="13" spans="1:2" x14ac:dyDescent="0.3">
      <c r="A13" t="s">
        <v>13</v>
      </c>
      <c r="B13" t="e" cm="1" vm="1">
        <f t="array" aca="1" ref="B13" ca="1">_xlfn._xlws.PY(11,1)</f>
        <v>#VALUE!</v>
      </c>
    </row>
    <row r="14" spans="1:2" x14ac:dyDescent="0.3">
      <c r="A14" t="s">
        <v>47</v>
      </c>
      <c r="B14" t="e" cm="1" vm="1">
        <f t="array" aca="1" ref="B14" ca="1">_xlfn._xlws.PY(12,1)</f>
        <v>#VALUE!</v>
      </c>
    </row>
    <row r="15" spans="1:2" x14ac:dyDescent="0.3">
      <c r="A15" t="s">
        <v>48</v>
      </c>
      <c r="B15" t="e" cm="1" vm="1">
        <f t="array" aca="1" ref="B15" ca="1">_xlfn._xlws.PY(13,1)</f>
        <v>#VALUE!</v>
      </c>
    </row>
    <row r="16" spans="1:2" x14ac:dyDescent="0.3">
      <c r="A16" t="s">
        <v>49</v>
      </c>
      <c r="B16" t="e" cm="1" vm="1">
        <f t="array" aca="1" ref="B16" ca="1">_xlfn._xlws.PY(14,1)</f>
        <v>#VALUE!</v>
      </c>
    </row>
    <row r="17" spans="1:2" x14ac:dyDescent="0.3">
      <c r="A17" t="s">
        <v>21</v>
      </c>
      <c r="B17" t="e" cm="1" vm="1">
        <f t="array" aca="1" ref="B17" ca="1">_xlfn._xlws.PY(15,1)</f>
        <v>#VALUE!</v>
      </c>
    </row>
    <row r="18" spans="1:2" x14ac:dyDescent="0.3">
      <c r="A18" t="s">
        <v>22</v>
      </c>
      <c r="B18" t="e" cm="1" vm="1">
        <f t="array" aca="1" ref="B18" ca="1">_xlfn._xlws.PY(16,1)</f>
        <v>#VALUE!</v>
      </c>
    </row>
    <row r="19" spans="1:2" x14ac:dyDescent="0.3">
      <c r="A19" t="s">
        <v>23</v>
      </c>
      <c r="B19" t="e" cm="1" vm="1">
        <f t="array" aca="1" ref="B19" ca="1">_xlfn._xlws.PY(17,1)</f>
        <v>#VALUE!</v>
      </c>
    </row>
    <row r="20" spans="1:2" x14ac:dyDescent="0.3">
      <c r="A20" t="s">
        <v>24</v>
      </c>
      <c r="B20" t="e" cm="1" vm="1">
        <f t="array" aca="1" ref="B20" ca="1">_xlfn._xlws.PY(18,1)</f>
        <v>#VALUE!</v>
      </c>
    </row>
    <row r="21" spans="1:2" x14ac:dyDescent="0.3">
      <c r="A21" t="s">
        <v>25</v>
      </c>
      <c r="B21" t="e" cm="1" vm="1">
        <f t="array" aca="1" ref="B21" ca="1">_xlfn._xlws.PY(19,1)</f>
        <v>#VALUE!</v>
      </c>
    </row>
    <row r="22" spans="1:2" x14ac:dyDescent="0.3">
      <c r="A22" t="s">
        <v>18</v>
      </c>
      <c r="B22" t="e" cm="1" vm="1">
        <f t="array" aca="1" ref="B22" ca="1">_xlfn._xlws.PY(20,1)</f>
        <v>#VALUE!</v>
      </c>
    </row>
    <row r="23" spans="1:2" x14ac:dyDescent="0.3">
      <c r="A23" t="s">
        <v>26</v>
      </c>
      <c r="B23" t="e" cm="1" vm="1">
        <f t="array" aca="1" ref="B23" ca="1">_xlfn._xlws.PY(21,1)</f>
        <v>#VALUE!</v>
      </c>
    </row>
    <row r="24" spans="1:2" x14ac:dyDescent="0.3">
      <c r="A24" t="s">
        <v>27</v>
      </c>
      <c r="B24" t="e" cm="1" vm="1">
        <f t="array" aca="1" ref="B24" ca="1">_xlfn._xlws.PY(22,1)</f>
        <v>#VALUE!</v>
      </c>
    </row>
    <row r="25" spans="1:2" x14ac:dyDescent="0.3">
      <c r="A25" t="s">
        <v>28</v>
      </c>
      <c r="B25" t="e" cm="1" vm="1">
        <f t="array" aca="1" ref="B25" ca="1">_xlfn._xlws.PY(23,1)</f>
        <v>#VALUE!</v>
      </c>
    </row>
    <row r="26" spans="1:2" x14ac:dyDescent="0.3">
      <c r="A26" t="s">
        <v>29</v>
      </c>
      <c r="B26" t="e" cm="1" vm="1">
        <f t="array" aca="1" ref="B26" ca="1">_xlfn._xlws.PY(24,1)</f>
        <v>#VALUE!</v>
      </c>
    </row>
    <row r="27" spans="1:2" x14ac:dyDescent="0.3">
      <c r="A27" t="s">
        <v>16</v>
      </c>
      <c r="B27" t="e" cm="1" vm="1">
        <f t="array" aca="1" ref="B27" ca="1">_xlfn._xlws.PY(25,1)</f>
        <v>#VALUE!</v>
      </c>
    </row>
    <row r="28" spans="1:2" x14ac:dyDescent="0.3">
      <c r="A28" t="s">
        <v>20</v>
      </c>
      <c r="B28" t="e" cm="1" vm="1">
        <f t="array" aca="1" ref="B28" ca="1">_xlfn._xlws.PY(26,1)</f>
        <v>#VALUE!</v>
      </c>
    </row>
    <row r="29" spans="1:2" x14ac:dyDescent="0.3">
      <c r="A29" t="s">
        <v>30</v>
      </c>
      <c r="B29" t="e" cm="1" vm="1">
        <f t="array" aca="1" ref="B29" ca="1">_xlfn._xlws.PY(27,1)</f>
        <v>#VALUE!</v>
      </c>
    </row>
    <row r="30" spans="1:2" x14ac:dyDescent="0.3">
      <c r="A30" t="s">
        <v>31</v>
      </c>
      <c r="B30" t="e" cm="1" vm="1">
        <f t="array" aca="1" ref="B30" ca="1">_xlfn._xlws.PY(28,1)</f>
        <v>#VALUE!</v>
      </c>
    </row>
    <row r="31" spans="1:2" x14ac:dyDescent="0.3">
      <c r="A31" t="s">
        <v>32</v>
      </c>
      <c r="B31" t="e" cm="1" vm="1">
        <f t="array" aca="1" ref="B31" ca="1">_xlfn._xlws.PY(29,1)</f>
        <v>#VALUE!</v>
      </c>
    </row>
    <row r="32" spans="1:2" x14ac:dyDescent="0.3">
      <c r="A32" t="s">
        <v>17</v>
      </c>
      <c r="B32" t="e" cm="1" vm="1">
        <f t="array" aca="1" ref="B32" ca="1">_xlfn._xlws.PY(30,1)</f>
        <v>#VALUE!</v>
      </c>
    </row>
    <row r="33" spans="1:2" x14ac:dyDescent="0.3">
      <c r="A33" t="s">
        <v>33</v>
      </c>
      <c r="B33" t="e" cm="1" vm="1">
        <f t="array" aca="1" ref="B33" ca="1">_xlfn._xlws.PY(31,1)</f>
        <v>#VALUE!</v>
      </c>
    </row>
    <row r="34" spans="1:2" x14ac:dyDescent="0.3">
      <c r="A34" t="s">
        <v>19</v>
      </c>
      <c r="B34" t="e" cm="1" vm="1">
        <f t="array" aca="1" ref="B34" ca="1">_xlfn._xlws.PY(32,1)</f>
        <v>#VALUE!</v>
      </c>
    </row>
    <row r="35" spans="1:2" x14ac:dyDescent="0.3">
      <c r="A35" t="s">
        <v>34</v>
      </c>
      <c r="B35" t="e" cm="1" vm="1">
        <f t="array" aca="1" ref="B35" ca="1">_xlfn._xlws.PY(33,1)</f>
        <v>#VALUE!</v>
      </c>
    </row>
    <row r="36" spans="1:2" x14ac:dyDescent="0.3">
      <c r="A36" t="s">
        <v>14</v>
      </c>
      <c r="B36" t="e" cm="1" vm="1">
        <f t="array" aca="1" ref="B36" ca="1">_xlfn._xlws.PY(34,1)</f>
        <v>#VALUE!</v>
      </c>
    </row>
    <row r="37" spans="1:2" x14ac:dyDescent="0.3">
      <c r="A37" t="s">
        <v>35</v>
      </c>
      <c r="B37" t="e" cm="1" vm="1">
        <f t="array" aca="1" ref="B37" ca="1">_xlfn._xlws.PY(35,1)</f>
        <v>#VALUE!</v>
      </c>
    </row>
    <row r="38" spans="1:2" x14ac:dyDescent="0.3">
      <c r="A38" t="s">
        <v>36</v>
      </c>
      <c r="B38" t="e" cm="1" vm="1">
        <f t="array" aca="1" ref="B38" ca="1">_xlfn._xlws.PY(36,1)</f>
        <v>#VALUE!</v>
      </c>
    </row>
    <row r="39" spans="1:2" x14ac:dyDescent="0.3">
      <c r="A39" t="s">
        <v>37</v>
      </c>
      <c r="B39" t="e" cm="1" vm="1">
        <f t="array" aca="1" ref="B39" ca="1">_xlfn._xlws.PY(37,1)</f>
        <v>#VALUE!</v>
      </c>
    </row>
    <row r="40" spans="1:2" x14ac:dyDescent="0.3">
      <c r="A40" t="s">
        <v>38</v>
      </c>
      <c r="B40" t="e" cm="1" vm="1">
        <f t="array" aca="1" ref="B40" ca="1">_xlfn._xlws.PY(38,1)</f>
        <v>#VALUE!</v>
      </c>
    </row>
    <row r="41" spans="1:2" x14ac:dyDescent="0.3">
      <c r="A41" t="s">
        <v>39</v>
      </c>
      <c r="B41" t="e" cm="1" vm="1">
        <f t="array" aca="1" ref="B41" ca="1">_xlfn._xlws.PY(39,1)</f>
        <v>#VALUE!</v>
      </c>
    </row>
    <row r="42" spans="1:2" x14ac:dyDescent="0.3">
      <c r="A42" t="s">
        <v>40</v>
      </c>
      <c r="B42" t="e" cm="1" vm="1">
        <f t="array" aca="1" ref="B42" ca="1">_xlfn._xlws.PY(40,1)</f>
        <v>#VALUE!</v>
      </c>
    </row>
    <row r="43" spans="1:2" x14ac:dyDescent="0.3">
      <c r="A43" t="s">
        <v>41</v>
      </c>
      <c r="B43" t="e" cm="1" vm="1">
        <f t="array" aca="1" ref="B43" ca="1">_xlfn._xlws.PY(41,1)</f>
        <v>#VALUE!</v>
      </c>
    </row>
    <row r="44" spans="1:2" x14ac:dyDescent="0.3">
      <c r="A44" t="s">
        <v>15</v>
      </c>
      <c r="B44" t="e" cm="1" vm="1">
        <f t="array" aca="1" ref="B44" ca="1">_xlfn._xlws.PY(42,1)</f>
        <v>#VALUE!</v>
      </c>
    </row>
    <row r="45" spans="1:2" x14ac:dyDescent="0.3">
      <c r="A45" t="s">
        <v>42</v>
      </c>
      <c r="B45" t="e" cm="1" vm="1">
        <f t="array" aca="1" ref="B45" ca="1">_xlfn._xlws.PY(43,1)</f>
        <v>#VALUE!</v>
      </c>
    </row>
    <row r="46" spans="1:2" x14ac:dyDescent="0.3">
      <c r="A46" t="s">
        <v>43</v>
      </c>
      <c r="B46" t="e" cm="1" vm="1">
        <f t="array" aca="1" ref="B46" ca="1">_xlfn._xlws.PY(44,1)</f>
        <v>#VALUE!</v>
      </c>
    </row>
    <row r="47" spans="1:2" x14ac:dyDescent="0.3">
      <c r="A47" t="s">
        <v>44</v>
      </c>
      <c r="B47" t="e" cm="1" vm="1">
        <f t="array" aca="1" ref="B47" ca="1">_xlfn._xlws.PY(45,1)</f>
        <v>#VALUE!</v>
      </c>
    </row>
    <row r="48" spans="1:2" x14ac:dyDescent="0.3">
      <c r="A48" t="s">
        <v>45</v>
      </c>
      <c r="B48" t="e" cm="1" vm="1">
        <f t="array" aca="1" ref="B48" ca="1">_xlfn._xlws.PY(46,1)</f>
        <v>#VALUE!</v>
      </c>
    </row>
    <row r="49" spans="1:2" x14ac:dyDescent="0.3">
      <c r="A49" t="s">
        <v>46</v>
      </c>
      <c r="B49" t="e" cm="1" vm="1">
        <f t="array" aca="1" ref="B49" ca="1">_xlfn._xlws.PY(47,1)</f>
        <v>#VALUE!</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_pdexplorer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Rashty</dc:creator>
  <cp:lastModifiedBy>David Rashty</cp:lastModifiedBy>
  <dcterms:created xsi:type="dcterms:W3CDTF">2025-01-27T19:16:40Z</dcterms:created>
  <dcterms:modified xsi:type="dcterms:W3CDTF">2025-01-28T08:58:05Z</dcterms:modified>
</cp:coreProperties>
</file>